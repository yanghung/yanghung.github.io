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5180" windowHeight="9090" firstSheet="1" activeTab="1"/>
  </bookViews>
  <sheets>
    <sheet name="Cash Flow" sheetId="1" state="hidden" r:id="rId1"/>
    <sheet name="Plant Bid" sheetId="2" r:id="rId2"/>
    <sheet name="Reference" sheetId="4" r:id="rId3"/>
  </sheets>
  <functionGroups/>
  <definedNames>
    <definedName name="_xlnm._FilterDatabase" localSheetId="1" hidden="1">'Plant Bid'!#REF!</definedName>
    <definedName name="_xlnm._FilterDatabase" localSheetId="2" hidden="1">Reference!$A$1:$D$50</definedName>
    <definedName name="Payout">Reference!$F$1:$G$22</definedName>
    <definedName name="Plants">Reference!$A$1:$D$50</definedName>
    <definedName name="Players2">Reference!$I$7:$M$11</definedName>
    <definedName name="Players3">Reference!$I$13:$M$17</definedName>
    <definedName name="Players4">Reference!$I$19:$M$23</definedName>
    <definedName name="Players5">Reference!$I$25:$M$29</definedName>
    <definedName name="Players6">Reference!$I$31:$M$35</definedName>
  </definedNames>
  <calcPr calcId="125725" refMode="R1C1"/>
</workbook>
</file>

<file path=xl/calcChain.xml><?xml version="1.0" encoding="utf-8"?>
<calcChain xmlns="http://schemas.openxmlformats.org/spreadsheetml/2006/main">
  <c r="E15" i="2"/>
  <c r="I37" i="4"/>
  <c r="B14" i="1"/>
  <c r="B13"/>
  <c r="B12"/>
  <c r="B11"/>
  <c r="B10"/>
  <c r="B9"/>
  <c r="B8"/>
  <c r="B7"/>
  <c r="B6"/>
  <c r="B5"/>
  <c r="B4"/>
  <c r="B59"/>
  <c r="B58"/>
  <c r="B44"/>
  <c r="B43"/>
  <c r="B29"/>
  <c r="B28"/>
  <c r="B42"/>
  <c r="B41"/>
  <c r="B40"/>
  <c r="B39"/>
  <c r="B38"/>
  <c r="B37"/>
  <c r="B36"/>
  <c r="B35"/>
  <c r="B34"/>
  <c r="B57"/>
  <c r="B56"/>
  <c r="B55"/>
  <c r="B54"/>
  <c r="B53"/>
  <c r="B52"/>
  <c r="B51"/>
  <c r="B50"/>
  <c r="B49"/>
  <c r="B27"/>
  <c r="B26"/>
  <c r="B25"/>
  <c r="B24"/>
  <c r="B23"/>
  <c r="B22"/>
  <c r="B21"/>
  <c r="B20"/>
  <c r="B19"/>
</calcChain>
</file>

<file path=xl/comments1.xml><?xml version="1.0" encoding="utf-8"?>
<comments xmlns="http://schemas.openxmlformats.org/spreadsheetml/2006/main">
  <authors>
    <author>Yang Hung</author>
  </authors>
  <commentList>
    <comment ref="D7" authorId="0">
      <text>
        <r>
          <rPr>
            <sz val="8"/>
            <color indexed="81"/>
            <rFont val="Tahoma"/>
            <family val="2"/>
          </rPr>
          <t>Number of Cities you can power right now</t>
        </r>
      </text>
    </comment>
    <comment ref="D8" authorId="0">
      <text>
        <r>
          <rPr>
            <sz val="8"/>
            <color indexed="81"/>
            <rFont val="Tahoma"/>
            <family val="2"/>
          </rPr>
          <t>Number of Powered Cities Increased</t>
        </r>
      </text>
    </comment>
  </commentList>
</comments>
</file>

<file path=xl/sharedStrings.xml><?xml version="1.0" encoding="utf-8"?>
<sst xmlns="http://schemas.openxmlformats.org/spreadsheetml/2006/main" count="165" uniqueCount="59">
  <si>
    <t>Initial $</t>
  </si>
  <si>
    <t>Plant Cost</t>
  </si>
  <si>
    <t>City Cost</t>
  </si>
  <si>
    <t>Power Income</t>
  </si>
  <si>
    <t>$ Left</t>
  </si>
  <si>
    <t>Rd.</t>
  </si>
  <si>
    <t>Fuel Cost</t>
  </si>
  <si>
    <t>ApotheosisAZ</t>
  </si>
  <si>
    <t>BadPineapple</t>
  </si>
  <si>
    <t>carlos5432</t>
  </si>
  <si>
    <t>C</t>
  </si>
  <si>
    <t>O</t>
  </si>
  <si>
    <t>T</t>
  </si>
  <si>
    <t>N</t>
  </si>
  <si>
    <t>H</t>
  </si>
  <si>
    <t>X</t>
  </si>
  <si>
    <t/>
  </si>
  <si>
    <t>Plant Num</t>
  </si>
  <si>
    <t>Input Num</t>
  </si>
  <si>
    <t>Fuel Type</t>
  </si>
  <si>
    <t>House Power</t>
  </si>
  <si>
    <t>Number Houses</t>
  </si>
  <si>
    <t>Cash Payout</t>
  </si>
  <si>
    <t>2 Player</t>
  </si>
  <si>
    <t>3 Player</t>
  </si>
  <si>
    <t>4 Player</t>
  </si>
  <si>
    <t>Plant #1</t>
  </si>
  <si>
    <t>Plant #2</t>
  </si>
  <si>
    <t>Plant #3</t>
  </si>
  <si>
    <t>Plant # to Bid</t>
  </si>
  <si>
    <t>Est. Turns Use</t>
  </si>
  <si>
    <t>Overall Input</t>
  </si>
  <si>
    <t>Your Current Plants</t>
  </si>
  <si>
    <t># Players (+ you)</t>
  </si>
  <si>
    <t>5 Player</t>
  </si>
  <si>
    <t>6 Player</t>
  </si>
  <si>
    <t># Cities Powered w/ New Plant</t>
  </si>
  <si>
    <t># Cities Increased w/ New Plant</t>
  </si>
  <si>
    <t>Cost of Building Extra Cities</t>
  </si>
  <si>
    <t>Max Bid to Win Plant (No City Cost)</t>
  </si>
  <si>
    <t>Max Bid to Win Plant (w/ City Cost)</t>
  </si>
  <si>
    <t>Current Stage</t>
  </si>
  <si>
    <t>Coal</t>
  </si>
  <si>
    <t>Oil</t>
  </si>
  <si>
    <t>Nuclear</t>
  </si>
  <si>
    <t>Opponent #1 Plants</t>
  </si>
  <si>
    <t>Opponent #2 Plants</t>
  </si>
  <si>
    <t>Opponent #3 Plants</t>
  </si>
  <si>
    <t>Opponent #4 Plants</t>
  </si>
  <si>
    <t>Opponent #5 Plants</t>
  </si>
  <si>
    <t>Garbage</t>
  </si>
  <si>
    <t>Current Fuel Market</t>
  </si>
  <si>
    <t>Expected cash if you LOSE bid on Plant</t>
  </si>
  <si>
    <t>Expected cash if you  WIN  bid on Plant</t>
  </si>
  <si>
    <t># Cities You Can Power Now</t>
  </si>
  <si>
    <t>Input Parameters</t>
  </si>
  <si>
    <t>Output Parameters</t>
  </si>
  <si>
    <t xml:space="preserve">Legend                      </t>
  </si>
  <si>
    <t>Max Bid Suggestion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</si>
</sst>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&quot;$&quot;#,##0"/>
  </numFmts>
  <fonts count="9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8"/>
      <color indexed="81"/>
      <name val="Tahoma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0"/>
        <bgColor indexed="64"/>
      </patternFill>
    </fill>
    <fill>
      <patternFill patternType="darkHorizontal">
        <fgColor indexed="60"/>
        <bgColor indexed="8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 diagonalUp="1"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 style="thin">
        <color indexed="9"/>
      </diagonal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 diagonalUp="1"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 style="thin">
        <color indexed="9"/>
      </diagonal>
    </border>
    <border>
      <left style="medium">
        <color indexed="64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 diagonalUp="1"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 style="thin">
        <color indexed="9"/>
      </diagonal>
    </border>
    <border diagonalUp="1"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 style="thin">
        <color indexed="9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 wrapText="1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Fill="1"/>
    <xf numFmtId="0" fontId="4" fillId="2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3" fillId="10" borderId="1" xfId="0" applyNumberFormat="1" applyFont="1" applyFill="1" applyBorder="1" applyAlignment="1">
      <alignment horizontal="center"/>
    </xf>
    <xf numFmtId="0" fontId="3" fillId="11" borderId="1" xfId="0" applyNumberFormat="1" applyFont="1" applyFill="1" applyBorder="1" applyAlignment="1">
      <alignment horizontal="center"/>
    </xf>
    <xf numFmtId="0" fontId="3" fillId="12" borderId="2" xfId="0" applyNumberFormat="1" applyFont="1" applyFill="1" applyBorder="1" applyAlignment="1">
      <alignment horizontal="center"/>
    </xf>
    <xf numFmtId="0" fontId="3" fillId="10" borderId="1" xfId="0" applyNumberFormat="1" applyFont="1" applyFill="1" applyBorder="1" applyAlignment="1" applyProtection="1">
      <alignment horizontal="center"/>
      <protection locked="0"/>
    </xf>
    <xf numFmtId="0" fontId="4" fillId="0" borderId="4" xfId="0" applyFont="1" applyFill="1" applyBorder="1" applyAlignment="1">
      <alignment horizontal="center" wrapText="1"/>
    </xf>
    <xf numFmtId="0" fontId="6" fillId="0" borderId="4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7" fillId="0" borderId="0" xfId="0" applyFont="1" applyFill="1"/>
    <xf numFmtId="0" fontId="7" fillId="0" borderId="0" xfId="0" applyFont="1"/>
    <xf numFmtId="0" fontId="3" fillId="12" borderId="10" xfId="0" applyNumberFormat="1" applyFont="1" applyFill="1" applyBorder="1" applyAlignment="1">
      <alignment horizontal="center"/>
    </xf>
    <xf numFmtId="0" fontId="3" fillId="10" borderId="12" xfId="0" applyNumberFormat="1" applyFont="1" applyFill="1" applyBorder="1" applyAlignment="1" applyProtection="1">
      <alignment horizontal="center"/>
      <protection locked="0"/>
    </xf>
    <xf numFmtId="0" fontId="3" fillId="12" borderId="13" xfId="0" applyNumberFormat="1" applyFont="1" applyFill="1" applyBorder="1" applyAlignment="1">
      <alignment horizontal="center"/>
    </xf>
    <xf numFmtId="0" fontId="3" fillId="12" borderId="14" xfId="0" applyNumberFormat="1" applyFont="1" applyFill="1" applyBorder="1" applyAlignment="1">
      <alignment horizontal="center"/>
    </xf>
    <xf numFmtId="0" fontId="3" fillId="15" borderId="1" xfId="0" applyFont="1" applyFill="1" applyBorder="1" applyProtection="1">
      <protection locked="0"/>
    </xf>
    <xf numFmtId="0" fontId="8" fillId="9" borderId="1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7" fillId="13" borderId="9" xfId="0" applyFont="1" applyFill="1" applyBorder="1" applyAlignment="1">
      <alignment horizontal="center"/>
    </xf>
    <xf numFmtId="0" fontId="4" fillId="17" borderId="5" xfId="0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4" fillId="14" borderId="9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164" fontId="7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4" fillId="17" borderId="6" xfId="0" applyFont="1" applyFill="1" applyBorder="1" applyAlignment="1">
      <alignment horizontal="center" wrapText="1"/>
    </xf>
    <xf numFmtId="0" fontId="4" fillId="17" borderId="7" xfId="0" applyFont="1" applyFill="1" applyBorder="1" applyAlignment="1">
      <alignment horizontal="center" wrapText="1"/>
    </xf>
    <xf numFmtId="0" fontId="4" fillId="17" borderId="8" xfId="0" applyFont="1" applyFill="1" applyBorder="1" applyAlignment="1">
      <alignment horizontal="center" wrapText="1"/>
    </xf>
    <xf numFmtId="0" fontId="3" fillId="16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wrapText="1"/>
    </xf>
    <xf numFmtId="165" fontId="3" fillId="16" borderId="0" xfId="0" applyNumberFormat="1" applyFont="1" applyFill="1" applyAlignment="1">
      <alignment horizontal="right"/>
    </xf>
    <xf numFmtId="165" fontId="3" fillId="15" borderId="0" xfId="0" applyNumberFormat="1" applyFont="1" applyFill="1" applyAlignment="1">
      <alignment horizontal="right"/>
    </xf>
    <xf numFmtId="0" fontId="7" fillId="0" borderId="0" xfId="0" applyFont="1" applyAlignment="1">
      <alignment horizontal="right"/>
    </xf>
    <xf numFmtId="0" fontId="4" fillId="2" borderId="3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18" borderId="0" xfId="0" applyFill="1"/>
    <xf numFmtId="165" fontId="4" fillId="18" borderId="15" xfId="0" applyNumberFormat="1" applyFont="1" applyFill="1" applyBorder="1" applyAlignment="1">
      <alignment horizontal="right"/>
    </xf>
    <xf numFmtId="165" fontId="4" fillId="18" borderId="16" xfId="0" applyNumberFormat="1" applyFont="1" applyFill="1" applyBorder="1" applyAlignment="1">
      <alignment horizontal="right"/>
    </xf>
    <xf numFmtId="165" fontId="4" fillId="18" borderId="17" xfId="0" applyNumberFormat="1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990600</xdr:colOff>
      <xdr:row>22</xdr:row>
      <xdr:rowOff>95250</xdr:rowOff>
    </xdr:from>
    <xdr:to>
      <xdr:col>11</xdr:col>
      <xdr:colOff>66675</xdr:colOff>
      <xdr:row>28</xdr:row>
      <xdr:rowOff>123825</xdr:rowOff>
    </xdr:to>
    <xdr:sp macro="" textlink="">
      <xdr:nvSpPr>
        <xdr:cNvPr id="3" name="Rectangle 2"/>
        <xdr:cNvSpPr/>
      </xdr:nvSpPr>
      <xdr:spPr>
        <a:xfrm>
          <a:off x="2743200" y="3667125"/>
          <a:ext cx="2686050" cy="10001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152399</xdr:colOff>
      <xdr:row>12</xdr:row>
      <xdr:rowOff>85724</xdr:rowOff>
    </xdr:from>
    <xdr:to>
      <xdr:col>45</xdr:col>
      <xdr:colOff>0</xdr:colOff>
      <xdr:row>25</xdr:row>
      <xdr:rowOff>66675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5667374" y="2190749"/>
          <a:ext cx="4705351" cy="208597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/>
          <a:r>
            <a:rPr lang="en-US" sz="1100" b="0" i="0" baseline="0">
              <a:latin typeface="+mn-lt"/>
              <a:ea typeface="+mn-ea"/>
              <a:cs typeface="+mn-cs"/>
            </a:rPr>
            <a:t>Fuel Refill U = Plant Val U</a:t>
          </a:r>
          <a:endParaRPr lang="en-US" sz="1000"/>
        </a:p>
        <a:p>
          <a:pPr rtl="0"/>
          <a:r>
            <a:rPr lang="en-US" sz="1100" b="0" i="0" baseline="0">
              <a:latin typeface="+mn-lt"/>
              <a:ea typeface="+mn-ea"/>
              <a:cs typeface="+mn-cs"/>
            </a:rPr>
            <a:t>Only Person w/ Plant = Plant Val U</a:t>
          </a:r>
          <a:endParaRPr lang="en-US" sz="1000"/>
        </a:p>
        <a:p>
          <a:pPr rtl="0"/>
          <a:r>
            <a:rPr lang="en-US" sz="1100" b="0" i="0" baseline="0">
              <a:latin typeface="+mn-lt"/>
              <a:ea typeface="+mn-ea"/>
              <a:cs typeface="+mn-cs"/>
            </a:rPr>
            <a:t>Cost to Power D = Plant Val U</a:t>
          </a:r>
          <a:endParaRPr lang="en-US" sz="1000"/>
        </a:p>
        <a:p>
          <a:pPr rtl="0" fontAlgn="base"/>
          <a:r>
            <a:rPr lang="en-US" sz="1100" b="1" i="0" baseline="0">
              <a:latin typeface="+mn-lt"/>
              <a:ea typeface="+mn-ea"/>
              <a:cs typeface="+mn-cs"/>
            </a:rPr>
            <a:t>No Other good Plants in Queue = Plant Val U</a:t>
          </a:r>
          <a:endParaRPr lang="en-US" sz="1100" b="0" i="0" baseline="0"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latin typeface="+mn-lt"/>
              <a:ea typeface="+mn-ea"/>
              <a:cs typeface="+mn-cs"/>
            </a:rPr>
            <a:t>Big Improvement in Houses powered = Plant Val U</a:t>
          </a:r>
          <a:endParaRPr lang="en-US" sz="1000"/>
        </a:p>
        <a:p>
          <a:pPr rtl="0"/>
          <a:r>
            <a:rPr lang="en-US" sz="1100" b="0" i="0" baseline="0">
              <a:latin typeface="+mn-lt"/>
              <a:ea typeface="+mn-ea"/>
              <a:cs typeface="+mn-cs"/>
            </a:rPr>
            <a:t># Turns to Keep Plant U = Plant Val U</a:t>
          </a:r>
          <a:endParaRPr lang="en-US" sz="1000"/>
        </a:p>
        <a:p>
          <a:pPr rtl="0" fontAlgn="base"/>
          <a:r>
            <a:rPr lang="en-US" sz="1100" b="1" i="0" baseline="0">
              <a:latin typeface="+mn-lt"/>
              <a:ea typeface="+mn-ea"/>
              <a:cs typeface="+mn-cs"/>
            </a:rPr>
            <a:t>Total Money Supply U = Plant Val U</a:t>
          </a:r>
          <a:endParaRPr lang="en-US" sz="1100" b="0" i="0" baseline="0">
            <a:latin typeface="+mn-lt"/>
            <a:ea typeface="+mn-ea"/>
            <a:cs typeface="+mn-cs"/>
          </a:endParaRPr>
        </a:p>
        <a:p>
          <a:pPr rtl="0" fontAlgn="base"/>
          <a:endParaRPr lang="en-US" sz="1100" b="0" i="0" baseline="0">
            <a:latin typeface="+mn-lt"/>
            <a:ea typeface="+mn-ea"/>
            <a:cs typeface="+mn-cs"/>
          </a:endParaRPr>
        </a:p>
        <a:p>
          <a:pPr rtl="0" fontAlgn="base"/>
          <a:endParaRPr lang="en-US" sz="1100" b="0" i="0" baseline="0"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latin typeface="+mn-lt"/>
              <a:ea typeface="+mn-ea"/>
              <a:cs typeface="+mn-cs"/>
            </a:rPr>
            <a:t>Does not handle "scarcity" well right now, assigns really negative cost for fuel to show that buying the plant with scarce resource is bad</a:t>
          </a:r>
          <a:endParaRPr lang="en-US" sz="1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59"/>
  <sheetViews>
    <sheetView workbookViewId="0">
      <selection activeCell="K20" sqref="K20"/>
    </sheetView>
  </sheetViews>
  <sheetFormatPr defaultRowHeight="12.75"/>
  <cols>
    <col min="1" max="1" width="3.85546875" bestFit="1" customWidth="1"/>
    <col min="2" max="2" width="6.140625" customWidth="1"/>
    <col min="3" max="3" width="6" customWidth="1"/>
    <col min="4" max="5" width="5.140625" customWidth="1"/>
    <col min="6" max="6" width="7.140625" customWidth="1"/>
    <col min="7" max="7" width="5" customWidth="1"/>
    <col min="8" max="8" width="1.140625" customWidth="1"/>
    <col min="9" max="9" width="3.85546875" bestFit="1" customWidth="1"/>
    <col min="10" max="10" width="5.85546875" customWidth="1"/>
    <col min="11" max="11" width="6.5703125" customWidth="1"/>
    <col min="12" max="12" width="5.5703125" customWidth="1"/>
    <col min="13" max="13" width="6.28515625" customWidth="1"/>
    <col min="14" max="14" width="7.140625" customWidth="1"/>
    <col min="15" max="15" width="5.140625" customWidth="1"/>
  </cols>
  <sheetData>
    <row r="1" spans="1:7">
      <c r="B1" s="37" t="s">
        <v>7</v>
      </c>
      <c r="C1" s="37"/>
      <c r="D1" s="37"/>
      <c r="E1" s="37"/>
      <c r="F1" s="37"/>
      <c r="G1" s="37"/>
    </row>
    <row r="2" spans="1:7" ht="25.5">
      <c r="A2" s="1" t="s">
        <v>5</v>
      </c>
      <c r="B2" s="1" t="s">
        <v>0</v>
      </c>
      <c r="C2" s="1" t="s">
        <v>1</v>
      </c>
      <c r="D2" s="1" t="s">
        <v>6</v>
      </c>
      <c r="E2" s="1" t="s">
        <v>2</v>
      </c>
      <c r="F2" s="1" t="s">
        <v>3</v>
      </c>
      <c r="G2" s="1" t="s">
        <v>4</v>
      </c>
    </row>
    <row r="3" spans="1:7">
      <c r="A3">
        <v>1</v>
      </c>
      <c r="B3">
        <v>50</v>
      </c>
      <c r="C3" s="2"/>
      <c r="D3" s="2"/>
      <c r="E3" s="2"/>
      <c r="F3" s="2"/>
      <c r="G3">
        <v>50</v>
      </c>
    </row>
    <row r="4" spans="1:7">
      <c r="A4">
        <v>2</v>
      </c>
      <c r="B4">
        <f>G3</f>
        <v>50</v>
      </c>
      <c r="C4" s="2"/>
      <c r="D4" s="2"/>
      <c r="E4" s="2"/>
      <c r="F4" s="2"/>
    </row>
    <row r="5" spans="1:7">
      <c r="A5">
        <v>3</v>
      </c>
      <c r="B5">
        <f t="shared" ref="B5:B14" si="0">G4</f>
        <v>0</v>
      </c>
      <c r="C5" s="2"/>
      <c r="D5" s="2"/>
      <c r="E5" s="2"/>
      <c r="F5" s="2"/>
    </row>
    <row r="6" spans="1:7">
      <c r="A6">
        <v>4</v>
      </c>
      <c r="B6">
        <f t="shared" si="0"/>
        <v>0</v>
      </c>
      <c r="C6" s="2"/>
      <c r="D6" s="2"/>
      <c r="E6" s="2"/>
      <c r="F6" s="2"/>
    </row>
    <row r="7" spans="1:7">
      <c r="A7">
        <v>5</v>
      </c>
      <c r="B7">
        <f t="shared" si="0"/>
        <v>0</v>
      </c>
      <c r="C7" s="2"/>
      <c r="D7" s="2"/>
      <c r="E7" s="2"/>
      <c r="F7" s="2"/>
    </row>
    <row r="8" spans="1:7">
      <c r="A8">
        <v>6</v>
      </c>
      <c r="B8">
        <f t="shared" si="0"/>
        <v>0</v>
      </c>
      <c r="C8" s="2"/>
      <c r="D8" s="2"/>
      <c r="E8" s="2"/>
      <c r="F8" s="2"/>
    </row>
    <row r="9" spans="1:7">
      <c r="A9">
        <v>7</v>
      </c>
      <c r="B9">
        <f t="shared" si="0"/>
        <v>0</v>
      </c>
      <c r="C9" s="2"/>
      <c r="D9" s="2"/>
      <c r="E9" s="2"/>
      <c r="F9" s="2"/>
    </row>
    <row r="10" spans="1:7">
      <c r="A10">
        <v>8</v>
      </c>
      <c r="B10">
        <f t="shared" si="0"/>
        <v>0</v>
      </c>
      <c r="C10" s="2"/>
      <c r="D10" s="2"/>
      <c r="E10" s="2"/>
      <c r="F10" s="2"/>
    </row>
    <row r="11" spans="1:7">
      <c r="A11">
        <v>9</v>
      </c>
      <c r="B11">
        <f t="shared" si="0"/>
        <v>0</v>
      </c>
      <c r="C11" s="2"/>
      <c r="D11" s="2"/>
      <c r="E11" s="2"/>
      <c r="F11" s="2"/>
    </row>
    <row r="12" spans="1:7">
      <c r="A12">
        <v>10</v>
      </c>
      <c r="B12">
        <f t="shared" si="0"/>
        <v>0</v>
      </c>
      <c r="C12" s="2"/>
      <c r="D12" s="2"/>
      <c r="E12" s="2"/>
      <c r="F12" s="2"/>
    </row>
    <row r="13" spans="1:7">
      <c r="A13">
        <v>11</v>
      </c>
      <c r="B13">
        <f t="shared" si="0"/>
        <v>0</v>
      </c>
      <c r="C13" s="2"/>
      <c r="D13" s="2"/>
    </row>
    <row r="14" spans="1:7">
      <c r="A14">
        <v>12</v>
      </c>
      <c r="B14">
        <f t="shared" si="0"/>
        <v>0</v>
      </c>
    </row>
    <row r="16" spans="1:7">
      <c r="B16" s="37" t="s">
        <v>9</v>
      </c>
      <c r="C16" s="37"/>
      <c r="D16" s="37"/>
      <c r="E16" s="37"/>
      <c r="F16" s="37"/>
      <c r="G16" s="37"/>
    </row>
    <row r="17" spans="1:7" ht="25.5">
      <c r="A17" s="1" t="s">
        <v>5</v>
      </c>
      <c r="B17" s="1" t="s">
        <v>0</v>
      </c>
      <c r="C17" s="1" t="s">
        <v>1</v>
      </c>
      <c r="D17" s="1" t="s">
        <v>6</v>
      </c>
      <c r="E17" s="1" t="s">
        <v>2</v>
      </c>
      <c r="F17" s="1" t="s">
        <v>3</v>
      </c>
      <c r="G17" s="1" t="s">
        <v>4</v>
      </c>
    </row>
    <row r="18" spans="1:7">
      <c r="A18">
        <v>1</v>
      </c>
      <c r="B18">
        <v>50</v>
      </c>
      <c r="G18">
        <v>50</v>
      </c>
    </row>
    <row r="19" spans="1:7">
      <c r="A19">
        <v>2</v>
      </c>
      <c r="B19">
        <f>G18</f>
        <v>50</v>
      </c>
    </row>
    <row r="20" spans="1:7">
      <c r="A20">
        <v>3</v>
      </c>
      <c r="B20">
        <f t="shared" ref="B20:B29" si="1">G19</f>
        <v>0</v>
      </c>
    </row>
    <row r="21" spans="1:7">
      <c r="A21">
        <v>4</v>
      </c>
      <c r="B21">
        <f t="shared" si="1"/>
        <v>0</v>
      </c>
    </row>
    <row r="22" spans="1:7">
      <c r="A22">
        <v>5</v>
      </c>
      <c r="B22">
        <f t="shared" si="1"/>
        <v>0</v>
      </c>
    </row>
    <row r="23" spans="1:7">
      <c r="A23">
        <v>6</v>
      </c>
      <c r="B23">
        <f t="shared" si="1"/>
        <v>0</v>
      </c>
    </row>
    <row r="24" spans="1:7">
      <c r="A24">
        <v>7</v>
      </c>
      <c r="B24">
        <f t="shared" si="1"/>
        <v>0</v>
      </c>
    </row>
    <row r="25" spans="1:7">
      <c r="A25">
        <v>8</v>
      </c>
      <c r="B25">
        <f t="shared" si="1"/>
        <v>0</v>
      </c>
    </row>
    <row r="26" spans="1:7">
      <c r="A26">
        <v>9</v>
      </c>
      <c r="B26">
        <f t="shared" si="1"/>
        <v>0</v>
      </c>
    </row>
    <row r="27" spans="1:7">
      <c r="A27">
        <v>10</v>
      </c>
      <c r="B27">
        <f t="shared" si="1"/>
        <v>0</v>
      </c>
    </row>
    <row r="28" spans="1:7">
      <c r="A28">
        <v>11</v>
      </c>
      <c r="B28">
        <f t="shared" si="1"/>
        <v>0</v>
      </c>
    </row>
    <row r="29" spans="1:7">
      <c r="A29">
        <v>12</v>
      </c>
      <c r="B29">
        <f t="shared" si="1"/>
        <v>0</v>
      </c>
    </row>
    <row r="31" spans="1:7">
      <c r="B31" s="37" t="s">
        <v>8</v>
      </c>
      <c r="C31" s="37"/>
      <c r="D31" s="37"/>
      <c r="E31" s="37"/>
      <c r="F31" s="37"/>
      <c r="G31" s="37"/>
    </row>
    <row r="32" spans="1:7" ht="25.5">
      <c r="A32" s="1" t="s">
        <v>5</v>
      </c>
      <c r="B32" s="1" t="s">
        <v>0</v>
      </c>
      <c r="C32" s="1" t="s">
        <v>1</v>
      </c>
      <c r="D32" s="1" t="s">
        <v>6</v>
      </c>
      <c r="E32" s="1" t="s">
        <v>2</v>
      </c>
      <c r="F32" s="1" t="s">
        <v>3</v>
      </c>
      <c r="G32" s="1" t="s">
        <v>4</v>
      </c>
    </row>
    <row r="33" spans="1:7">
      <c r="A33">
        <v>1</v>
      </c>
      <c r="B33">
        <v>50</v>
      </c>
      <c r="G33">
        <v>50</v>
      </c>
    </row>
    <row r="34" spans="1:7">
      <c r="A34">
        <v>2</v>
      </c>
      <c r="B34">
        <f>G33</f>
        <v>50</v>
      </c>
    </row>
    <row r="35" spans="1:7">
      <c r="A35">
        <v>3</v>
      </c>
      <c r="B35">
        <f t="shared" ref="B35:B44" si="2">G34</f>
        <v>0</v>
      </c>
    </row>
    <row r="36" spans="1:7">
      <c r="A36">
        <v>4</v>
      </c>
      <c r="B36">
        <f t="shared" si="2"/>
        <v>0</v>
      </c>
    </row>
    <row r="37" spans="1:7">
      <c r="A37">
        <v>5</v>
      </c>
      <c r="B37">
        <f t="shared" si="2"/>
        <v>0</v>
      </c>
    </row>
    <row r="38" spans="1:7">
      <c r="A38">
        <v>6</v>
      </c>
      <c r="B38">
        <f t="shared" si="2"/>
        <v>0</v>
      </c>
    </row>
    <row r="39" spans="1:7">
      <c r="A39">
        <v>7</v>
      </c>
      <c r="B39">
        <f t="shared" si="2"/>
        <v>0</v>
      </c>
    </row>
    <row r="40" spans="1:7">
      <c r="A40">
        <v>8</v>
      </c>
      <c r="B40">
        <f t="shared" si="2"/>
        <v>0</v>
      </c>
    </row>
    <row r="41" spans="1:7">
      <c r="A41">
        <v>9</v>
      </c>
      <c r="B41">
        <f t="shared" si="2"/>
        <v>0</v>
      </c>
    </row>
    <row r="42" spans="1:7">
      <c r="A42">
        <v>10</v>
      </c>
      <c r="B42">
        <f t="shared" si="2"/>
        <v>0</v>
      </c>
    </row>
    <row r="43" spans="1:7">
      <c r="A43">
        <v>11</v>
      </c>
      <c r="B43">
        <f t="shared" si="2"/>
        <v>0</v>
      </c>
    </row>
    <row r="44" spans="1:7">
      <c r="A44">
        <v>12</v>
      </c>
      <c r="B44">
        <f t="shared" si="2"/>
        <v>0</v>
      </c>
    </row>
    <row r="46" spans="1:7">
      <c r="B46" s="37"/>
      <c r="C46" s="37"/>
      <c r="D46" s="37"/>
      <c r="E46" s="37"/>
      <c r="F46" s="37"/>
      <c r="G46" s="37"/>
    </row>
    <row r="47" spans="1:7" ht="25.5">
      <c r="A47" s="1" t="s">
        <v>5</v>
      </c>
      <c r="B47" s="1" t="s">
        <v>0</v>
      </c>
      <c r="C47" s="1" t="s">
        <v>1</v>
      </c>
      <c r="D47" s="1" t="s">
        <v>6</v>
      </c>
      <c r="E47" s="1" t="s">
        <v>2</v>
      </c>
      <c r="F47" s="1" t="s">
        <v>3</v>
      </c>
      <c r="G47" s="1" t="s">
        <v>4</v>
      </c>
    </row>
    <row r="48" spans="1:7">
      <c r="A48">
        <v>1</v>
      </c>
      <c r="B48">
        <v>50</v>
      </c>
      <c r="G48">
        <v>50</v>
      </c>
    </row>
    <row r="49" spans="1:2">
      <c r="A49">
        <v>2</v>
      </c>
      <c r="B49">
        <f>G48</f>
        <v>50</v>
      </c>
    </row>
    <row r="50" spans="1:2">
      <c r="A50">
        <v>3</v>
      </c>
      <c r="B50">
        <f t="shared" ref="B50:B59" si="3">G49</f>
        <v>0</v>
      </c>
    </row>
    <row r="51" spans="1:2">
      <c r="A51">
        <v>4</v>
      </c>
      <c r="B51">
        <f t="shared" si="3"/>
        <v>0</v>
      </c>
    </row>
    <row r="52" spans="1:2">
      <c r="A52">
        <v>5</v>
      </c>
      <c r="B52">
        <f t="shared" si="3"/>
        <v>0</v>
      </c>
    </row>
    <row r="53" spans="1:2">
      <c r="A53">
        <v>6</v>
      </c>
      <c r="B53">
        <f t="shared" si="3"/>
        <v>0</v>
      </c>
    </row>
    <row r="54" spans="1:2">
      <c r="A54">
        <v>7</v>
      </c>
      <c r="B54">
        <f t="shared" si="3"/>
        <v>0</v>
      </c>
    </row>
    <row r="55" spans="1:2">
      <c r="A55">
        <v>8</v>
      </c>
      <c r="B55">
        <f t="shared" si="3"/>
        <v>0</v>
      </c>
    </row>
    <row r="56" spans="1:2">
      <c r="A56">
        <v>9</v>
      </c>
      <c r="B56">
        <f t="shared" si="3"/>
        <v>0</v>
      </c>
    </row>
    <row r="57" spans="1:2">
      <c r="A57">
        <v>10</v>
      </c>
      <c r="B57">
        <f t="shared" si="3"/>
        <v>0</v>
      </c>
    </row>
    <row r="58" spans="1:2">
      <c r="A58">
        <v>11</v>
      </c>
      <c r="B58">
        <f t="shared" si="3"/>
        <v>0</v>
      </c>
    </row>
    <row r="59" spans="1:2">
      <c r="A59">
        <v>12</v>
      </c>
      <c r="B59">
        <f t="shared" si="3"/>
        <v>0</v>
      </c>
    </row>
  </sheetData>
  <mergeCells count="4">
    <mergeCell ref="B1:G1"/>
    <mergeCell ref="B16:G16"/>
    <mergeCell ref="B46:G46"/>
    <mergeCell ref="B31:G31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N59"/>
  <sheetViews>
    <sheetView showGridLines="0" showRowColHeaders="0" tabSelected="1" workbookViewId="0">
      <selection activeCell="S13" sqref="S13"/>
    </sheetView>
  </sheetViews>
  <sheetFormatPr defaultRowHeight="12.75"/>
  <cols>
    <col min="1" max="1" width="16.140625" bestFit="1" customWidth="1"/>
    <col min="2" max="2" width="7.28515625" style="4" bestFit="1" customWidth="1"/>
    <col min="3" max="3" width="2.85546875" customWidth="1"/>
    <col min="4" max="4" width="37.140625" bestFit="1" customWidth="1"/>
    <col min="5" max="40" width="2.42578125" customWidth="1"/>
  </cols>
  <sheetData>
    <row r="1" spans="1:40">
      <c r="A1" s="42" t="s">
        <v>31</v>
      </c>
      <c r="B1" s="42"/>
      <c r="D1" s="31" t="s">
        <v>51</v>
      </c>
      <c r="E1" s="38">
        <v>1</v>
      </c>
      <c r="F1" s="39"/>
      <c r="G1" s="39"/>
      <c r="H1" s="38">
        <v>2</v>
      </c>
      <c r="I1" s="39"/>
      <c r="J1" s="39"/>
      <c r="K1" s="38">
        <v>3</v>
      </c>
      <c r="L1" s="39"/>
      <c r="M1" s="39"/>
      <c r="N1" s="38">
        <v>4</v>
      </c>
      <c r="O1" s="39"/>
      <c r="P1" s="39"/>
      <c r="Q1" s="38">
        <v>5</v>
      </c>
      <c r="R1" s="39"/>
      <c r="S1" s="39"/>
      <c r="T1" s="38">
        <v>6</v>
      </c>
      <c r="U1" s="39"/>
      <c r="V1" s="39"/>
      <c r="W1" s="38">
        <v>7</v>
      </c>
      <c r="X1" s="39"/>
      <c r="Y1" s="39"/>
      <c r="Z1" s="38">
        <v>8</v>
      </c>
      <c r="AA1" s="39"/>
      <c r="AB1" s="39"/>
      <c r="AC1" s="38">
        <v>10</v>
      </c>
      <c r="AD1" s="39"/>
      <c r="AE1" s="39"/>
      <c r="AF1" s="38">
        <v>12</v>
      </c>
      <c r="AG1" s="39"/>
      <c r="AH1" s="39"/>
      <c r="AI1" s="38">
        <v>14</v>
      </c>
      <c r="AJ1" s="39"/>
      <c r="AK1" s="39"/>
      <c r="AL1" s="38">
        <v>16</v>
      </c>
      <c r="AM1" s="39"/>
      <c r="AN1" s="40"/>
    </row>
    <row r="2" spans="1:40">
      <c r="A2" s="13" t="s">
        <v>29</v>
      </c>
      <c r="B2" s="26">
        <v>50</v>
      </c>
      <c r="D2" s="34" t="s">
        <v>42</v>
      </c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 t="s">
        <v>15</v>
      </c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22"/>
    </row>
    <row r="3" spans="1:40">
      <c r="A3" s="13" t="s">
        <v>30</v>
      </c>
      <c r="B3" s="26">
        <v>3</v>
      </c>
      <c r="D3" s="28" t="s">
        <v>43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 t="s">
        <v>15</v>
      </c>
      <c r="S3" s="16"/>
      <c r="T3" s="16"/>
      <c r="U3" s="16"/>
      <c r="V3" s="16"/>
      <c r="W3" s="16"/>
      <c r="X3" s="16"/>
      <c r="Y3" s="16"/>
      <c r="Z3" s="16"/>
      <c r="AA3" s="16"/>
      <c r="AB3" s="16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22"/>
    </row>
    <row r="4" spans="1:40">
      <c r="A4" s="13" t="s">
        <v>33</v>
      </c>
      <c r="B4" s="26">
        <v>4</v>
      </c>
      <c r="D4" s="30" t="s">
        <v>50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 t="s">
        <v>15</v>
      </c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22"/>
    </row>
    <row r="5" spans="1:40" ht="13.5" thickBot="1">
      <c r="A5" s="13" t="s">
        <v>41</v>
      </c>
      <c r="B5" s="26">
        <v>2</v>
      </c>
      <c r="D5" s="29" t="s">
        <v>44</v>
      </c>
      <c r="E5" s="23"/>
      <c r="F5" s="24"/>
      <c r="G5" s="24"/>
      <c r="H5" s="23"/>
      <c r="I5" s="24"/>
      <c r="J5" s="24"/>
      <c r="K5" s="23"/>
      <c r="L5" s="24"/>
      <c r="M5" s="24"/>
      <c r="N5" s="23"/>
      <c r="O5" s="24"/>
      <c r="P5" s="24"/>
      <c r="Q5" s="23"/>
      <c r="R5" s="24"/>
      <c r="S5" s="24"/>
      <c r="T5" s="23"/>
      <c r="U5" s="24"/>
      <c r="V5" s="24"/>
      <c r="W5" s="23"/>
      <c r="X5" s="24"/>
      <c r="Y5" s="24"/>
      <c r="Z5" s="23" t="s">
        <v>15</v>
      </c>
      <c r="AA5" s="24"/>
      <c r="AB5" s="24"/>
      <c r="AC5" s="23"/>
      <c r="AD5" s="24"/>
      <c r="AE5" s="24"/>
      <c r="AF5" s="23"/>
      <c r="AG5" s="24"/>
      <c r="AH5" s="24"/>
      <c r="AI5" s="23"/>
      <c r="AJ5" s="24"/>
      <c r="AK5" s="24"/>
      <c r="AL5" s="23"/>
      <c r="AM5" s="24"/>
      <c r="AN5" s="25"/>
    </row>
    <row r="6" spans="1:40">
      <c r="A6" s="42" t="s">
        <v>32</v>
      </c>
      <c r="B6" s="42"/>
    </row>
    <row r="7" spans="1:40">
      <c r="A7" s="13" t="s">
        <v>26</v>
      </c>
      <c r="B7" s="26">
        <v>21</v>
      </c>
      <c r="D7" s="20" t="s">
        <v>54</v>
      </c>
      <c r="E7" s="41">
        <v>8</v>
      </c>
      <c r="F7" s="41"/>
      <c r="G7" s="41"/>
      <c r="H7" s="41"/>
      <c r="I7" s="41"/>
      <c r="J7" s="41"/>
    </row>
    <row r="8" spans="1:40">
      <c r="A8" s="13" t="s">
        <v>27</v>
      </c>
      <c r="B8" s="26">
        <v>6</v>
      </c>
      <c r="D8" s="20" t="s">
        <v>37</v>
      </c>
      <c r="E8" s="41">
        <v>5</v>
      </c>
      <c r="F8" s="41"/>
      <c r="G8" s="41"/>
      <c r="H8" s="41"/>
      <c r="I8" s="41"/>
      <c r="J8" s="41"/>
    </row>
    <row r="9" spans="1:40">
      <c r="A9" s="13" t="s">
        <v>28</v>
      </c>
      <c r="B9" s="26">
        <v>19</v>
      </c>
      <c r="D9" s="21" t="s">
        <v>36</v>
      </c>
      <c r="E9" s="41">
        <v>13</v>
      </c>
      <c r="F9" s="41"/>
      <c r="G9" s="41"/>
      <c r="H9" s="41"/>
      <c r="I9" s="41"/>
      <c r="J9" s="41"/>
    </row>
    <row r="10" spans="1:40">
      <c r="A10" s="42" t="s">
        <v>45</v>
      </c>
      <c r="B10" s="42"/>
      <c r="D10" s="21"/>
    </row>
    <row r="11" spans="1:40">
      <c r="A11" s="13" t="s">
        <v>26</v>
      </c>
      <c r="B11" s="26">
        <v>17</v>
      </c>
      <c r="D11" s="21" t="s">
        <v>52</v>
      </c>
      <c r="E11" s="43">
        <v>84.670588235294133</v>
      </c>
      <c r="F11" s="43"/>
      <c r="G11" s="43"/>
      <c r="H11" s="43"/>
      <c r="I11" s="43"/>
      <c r="J11" s="43"/>
    </row>
    <row r="12" spans="1:40" ht="13.5" thickBot="1">
      <c r="A12" s="13" t="s">
        <v>27</v>
      </c>
      <c r="B12" s="26">
        <v>28</v>
      </c>
      <c r="D12" s="21" t="s">
        <v>53</v>
      </c>
      <c r="E12" s="43">
        <v>202.67058823529413</v>
      </c>
      <c r="F12" s="43"/>
      <c r="G12" s="43"/>
      <c r="H12" s="43"/>
      <c r="I12" s="43"/>
      <c r="J12" s="43"/>
    </row>
    <row r="13" spans="1:40" ht="13.5" thickBot="1">
      <c r="A13" s="13" t="s">
        <v>28</v>
      </c>
      <c r="B13" s="26">
        <v>29</v>
      </c>
      <c r="D13" s="21" t="s">
        <v>39</v>
      </c>
      <c r="E13" s="49">
        <v>118</v>
      </c>
      <c r="F13" s="50"/>
      <c r="G13" s="50"/>
      <c r="H13" s="50"/>
      <c r="I13" s="50"/>
      <c r="J13" s="51"/>
    </row>
    <row r="14" spans="1:40" ht="13.5" thickBot="1">
      <c r="A14" s="42" t="s">
        <v>46</v>
      </c>
      <c r="B14" s="42"/>
      <c r="D14" s="21" t="s">
        <v>38</v>
      </c>
      <c r="E14" s="44">
        <v>20</v>
      </c>
      <c r="F14" s="44"/>
      <c r="G14" s="44"/>
      <c r="H14" s="44"/>
      <c r="I14" s="44"/>
      <c r="J14" s="44"/>
    </row>
    <row r="15" spans="1:40" ht="13.5" thickBot="1">
      <c r="A15" s="13" t="s">
        <v>26</v>
      </c>
      <c r="B15" s="26">
        <v>20</v>
      </c>
      <c r="D15" s="21" t="s">
        <v>40</v>
      </c>
      <c r="E15" s="49">
        <f>E13-(E14)</f>
        <v>98</v>
      </c>
      <c r="F15" s="50"/>
      <c r="G15" s="50"/>
      <c r="H15" s="50"/>
      <c r="I15" s="50"/>
      <c r="J15" s="51"/>
    </row>
    <row r="16" spans="1:40">
      <c r="A16" s="13" t="s">
        <v>27</v>
      </c>
      <c r="B16" s="26">
        <v>9</v>
      </c>
    </row>
    <row r="17" spans="1:10">
      <c r="A17" s="13" t="s">
        <v>28</v>
      </c>
      <c r="B17" s="26">
        <v>18</v>
      </c>
    </row>
    <row r="18" spans="1:10">
      <c r="A18" s="42" t="s">
        <v>47</v>
      </c>
      <c r="B18" s="42"/>
    </row>
    <row r="19" spans="1:10">
      <c r="A19" s="13" t="s">
        <v>26</v>
      </c>
      <c r="B19" s="26">
        <v>25</v>
      </c>
    </row>
    <row r="20" spans="1:10">
      <c r="A20" s="13" t="s">
        <v>27</v>
      </c>
      <c r="B20" s="26">
        <v>10</v>
      </c>
    </row>
    <row r="21" spans="1:10">
      <c r="A21" s="13" t="s">
        <v>28</v>
      </c>
      <c r="B21" s="26">
        <v>22</v>
      </c>
    </row>
    <row r="22" spans="1:10">
      <c r="A22" s="42" t="s">
        <v>48</v>
      </c>
      <c r="B22" s="42"/>
    </row>
    <row r="23" spans="1:10">
      <c r="A23" s="13" t="s">
        <v>26</v>
      </c>
      <c r="B23" s="26"/>
    </row>
    <row r="24" spans="1:10">
      <c r="A24" s="13" t="s">
        <v>27</v>
      </c>
      <c r="B24" s="26"/>
      <c r="D24" s="45" t="s">
        <v>57</v>
      </c>
      <c r="E24" s="45"/>
      <c r="F24" s="45"/>
      <c r="G24" s="45"/>
      <c r="H24" s="45"/>
      <c r="I24" s="45"/>
      <c r="J24" s="45"/>
    </row>
    <row r="25" spans="1:10">
      <c r="A25" s="13" t="s">
        <v>28</v>
      </c>
      <c r="B25" s="26"/>
    </row>
    <row r="26" spans="1:10">
      <c r="A26" s="42" t="s">
        <v>49</v>
      </c>
      <c r="B26" s="42"/>
      <c r="D26" s="35" t="s">
        <v>55</v>
      </c>
      <c r="E26" s="32"/>
      <c r="F26" s="32"/>
      <c r="G26" s="32"/>
      <c r="H26" s="32"/>
      <c r="I26" s="32"/>
      <c r="J26" s="32"/>
    </row>
    <row r="27" spans="1:10">
      <c r="A27" s="13" t="s">
        <v>26</v>
      </c>
      <c r="B27" s="26"/>
      <c r="D27" s="36" t="s">
        <v>56</v>
      </c>
      <c r="E27" s="33"/>
      <c r="F27" s="33"/>
      <c r="G27" s="33"/>
      <c r="H27" s="33"/>
      <c r="I27" s="33"/>
      <c r="J27" s="33"/>
    </row>
    <row r="28" spans="1:10">
      <c r="A28" s="13" t="s">
        <v>27</v>
      </c>
      <c r="B28" s="26"/>
      <c r="D28" s="36" t="s">
        <v>58</v>
      </c>
      <c r="E28" s="48"/>
      <c r="F28" s="48"/>
      <c r="G28" s="48"/>
      <c r="H28" s="48"/>
      <c r="I28" s="48"/>
      <c r="J28" s="48"/>
    </row>
    <row r="29" spans="1:10">
      <c r="A29" s="13" t="s">
        <v>28</v>
      </c>
      <c r="B29" s="26"/>
    </row>
    <row r="35" spans="4:7">
      <c r="D35" s="4"/>
      <c r="E35" s="4"/>
      <c r="F35" s="4"/>
      <c r="G35" s="4"/>
    </row>
    <row r="36" spans="4:7">
      <c r="D36" s="4"/>
    </row>
    <row r="57" spans="3:3">
      <c r="C57" s="4"/>
    </row>
    <row r="58" spans="3:3">
      <c r="C58" s="4"/>
    </row>
    <row r="59" spans="3:3">
      <c r="C59" s="4"/>
    </row>
  </sheetData>
  <sheetProtection selectLockedCells="1"/>
  <mergeCells count="28">
    <mergeCell ref="A18:B18"/>
    <mergeCell ref="A22:B22"/>
    <mergeCell ref="A26:B26"/>
    <mergeCell ref="E7:J7"/>
    <mergeCell ref="E9:J9"/>
    <mergeCell ref="A10:B10"/>
    <mergeCell ref="E15:J15"/>
    <mergeCell ref="D24:J24"/>
    <mergeCell ref="A6:B6"/>
    <mergeCell ref="A1:B1"/>
    <mergeCell ref="A14:B14"/>
    <mergeCell ref="E1:G1"/>
    <mergeCell ref="E11:J11"/>
    <mergeCell ref="E12:J12"/>
    <mergeCell ref="E13:J13"/>
    <mergeCell ref="E14:J14"/>
    <mergeCell ref="AF1:AH1"/>
    <mergeCell ref="AI1:AK1"/>
    <mergeCell ref="AL1:AN1"/>
    <mergeCell ref="E8:J8"/>
    <mergeCell ref="T1:V1"/>
    <mergeCell ref="W1:Y1"/>
    <mergeCell ref="Z1:AB1"/>
    <mergeCell ref="AC1:AE1"/>
    <mergeCell ref="H1:J1"/>
    <mergeCell ref="K1:M1"/>
    <mergeCell ref="N1:P1"/>
    <mergeCell ref="Q1:S1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controls>
    <control shapeId="1036" r:id="rId4" name="CalcPlantNPV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S52"/>
  <sheetViews>
    <sheetView workbookViewId="0">
      <selection activeCell="F1" sqref="F1:G22"/>
    </sheetView>
  </sheetViews>
  <sheetFormatPr defaultRowHeight="12.75"/>
  <cols>
    <col min="1" max="1" width="5.7109375" style="3" bestFit="1" customWidth="1"/>
    <col min="2" max="2" width="5.5703125" style="3" bestFit="1" customWidth="1"/>
    <col min="3" max="3" width="5.42578125" style="3" bestFit="1" customWidth="1"/>
    <col min="4" max="4" width="6.85546875" style="3" bestFit="1" customWidth="1"/>
    <col min="5" max="5" width="2.7109375" customWidth="1"/>
    <col min="6" max="6" width="16.140625" bestFit="1" customWidth="1"/>
    <col min="7" max="7" width="7.28515625" style="4" bestFit="1" customWidth="1"/>
    <col min="8" max="8" width="2.85546875" customWidth="1"/>
    <col min="9" max="9" width="15.5703125" customWidth="1"/>
    <col min="10" max="45" width="2.42578125" customWidth="1"/>
  </cols>
  <sheetData>
    <row r="1" spans="1:45" ht="25.5">
      <c r="A1" s="5" t="s">
        <v>17</v>
      </c>
      <c r="B1" s="5" t="s">
        <v>18</v>
      </c>
      <c r="C1" s="5" t="s">
        <v>19</v>
      </c>
      <c r="D1" s="5" t="s">
        <v>20</v>
      </c>
      <c r="F1" s="5" t="s">
        <v>21</v>
      </c>
      <c r="G1" s="5" t="s">
        <v>22</v>
      </c>
      <c r="I1" s="14"/>
      <c r="J1" s="46">
        <v>1</v>
      </c>
      <c r="K1" s="47"/>
      <c r="L1" s="47"/>
      <c r="M1" s="46">
        <v>2</v>
      </c>
      <c r="N1" s="47"/>
      <c r="O1" s="47"/>
      <c r="P1" s="46">
        <v>3</v>
      </c>
      <c r="Q1" s="47"/>
      <c r="R1" s="47"/>
      <c r="S1" s="46">
        <v>4</v>
      </c>
      <c r="T1" s="47"/>
      <c r="U1" s="47"/>
      <c r="V1" s="46">
        <v>5</v>
      </c>
      <c r="W1" s="47"/>
      <c r="X1" s="47"/>
      <c r="Y1" s="46">
        <v>6</v>
      </c>
      <c r="Z1" s="47"/>
      <c r="AA1" s="47"/>
      <c r="AB1" s="46">
        <v>7</v>
      </c>
      <c r="AC1" s="47"/>
      <c r="AD1" s="47"/>
      <c r="AE1" s="46">
        <v>8</v>
      </c>
      <c r="AF1" s="47"/>
      <c r="AG1" s="47"/>
      <c r="AH1" s="46">
        <v>10</v>
      </c>
      <c r="AI1" s="47"/>
      <c r="AJ1" s="47"/>
      <c r="AK1" s="46">
        <v>12</v>
      </c>
      <c r="AL1" s="47"/>
      <c r="AM1" s="47"/>
      <c r="AN1" s="46">
        <v>14</v>
      </c>
      <c r="AO1" s="47"/>
      <c r="AP1" s="47"/>
      <c r="AQ1" s="46">
        <v>16</v>
      </c>
      <c r="AR1" s="47"/>
      <c r="AS1" s="47"/>
    </row>
    <row r="2" spans="1:45">
      <c r="A2" s="13">
        <v>0</v>
      </c>
      <c r="B2" s="13">
        <v>0</v>
      </c>
      <c r="C2" s="13" t="s">
        <v>15</v>
      </c>
      <c r="D2" s="13">
        <v>0</v>
      </c>
      <c r="F2" s="13">
        <v>0</v>
      </c>
      <c r="G2" s="13">
        <v>10</v>
      </c>
      <c r="I2" s="7" t="s">
        <v>10</v>
      </c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</row>
    <row r="3" spans="1:45">
      <c r="A3" s="6">
        <v>3</v>
      </c>
      <c r="B3" s="6">
        <v>2</v>
      </c>
      <c r="C3" s="6" t="s">
        <v>11</v>
      </c>
      <c r="D3" s="6">
        <v>1</v>
      </c>
      <c r="F3" s="13">
        <v>1</v>
      </c>
      <c r="G3" s="13">
        <v>22</v>
      </c>
      <c r="I3" s="6" t="s">
        <v>11</v>
      </c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</row>
    <row r="4" spans="1:45">
      <c r="A4" s="7">
        <v>4</v>
      </c>
      <c r="B4" s="7">
        <v>2</v>
      </c>
      <c r="C4" s="7" t="s">
        <v>10</v>
      </c>
      <c r="D4" s="7">
        <v>1</v>
      </c>
      <c r="F4" s="13">
        <v>2</v>
      </c>
      <c r="G4" s="13">
        <v>33</v>
      </c>
      <c r="I4" s="9" t="s">
        <v>12</v>
      </c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</row>
    <row r="5" spans="1:45">
      <c r="A5" s="8">
        <v>5</v>
      </c>
      <c r="B5" s="8">
        <v>2</v>
      </c>
      <c r="C5" s="8" t="s">
        <v>14</v>
      </c>
      <c r="D5" s="8">
        <v>1</v>
      </c>
      <c r="F5" s="13">
        <v>3</v>
      </c>
      <c r="G5" s="13">
        <v>44</v>
      </c>
      <c r="I5" s="10" t="s">
        <v>13</v>
      </c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5"/>
      <c r="AJ5" s="15"/>
      <c r="AK5" s="13"/>
      <c r="AL5" s="15"/>
      <c r="AM5" s="15"/>
      <c r="AN5" s="13"/>
      <c r="AO5" s="15"/>
      <c r="AP5" s="15"/>
      <c r="AQ5" s="13"/>
      <c r="AR5" s="15"/>
      <c r="AS5" s="15"/>
    </row>
    <row r="6" spans="1:45">
      <c r="A6" s="9">
        <v>6</v>
      </c>
      <c r="B6" s="9">
        <v>1</v>
      </c>
      <c r="C6" s="9" t="s">
        <v>12</v>
      </c>
      <c r="D6" s="9">
        <v>1</v>
      </c>
      <c r="F6" s="13">
        <v>4</v>
      </c>
      <c r="G6" s="13">
        <v>54</v>
      </c>
    </row>
    <row r="7" spans="1:45">
      <c r="A7" s="6">
        <v>7</v>
      </c>
      <c r="B7" s="6">
        <v>3</v>
      </c>
      <c r="C7" s="6" t="s">
        <v>11</v>
      </c>
      <c r="D7" s="6">
        <v>2</v>
      </c>
      <c r="F7" s="13">
        <v>5</v>
      </c>
      <c r="G7" s="13">
        <v>64</v>
      </c>
      <c r="I7" s="5" t="s">
        <v>23</v>
      </c>
      <c r="J7" s="5">
        <v>1</v>
      </c>
      <c r="K7" s="5">
        <v>2</v>
      </c>
      <c r="L7" s="5">
        <v>3</v>
      </c>
      <c r="M7" s="17">
        <v>1</v>
      </c>
    </row>
    <row r="8" spans="1:45">
      <c r="A8" s="7">
        <v>8</v>
      </c>
      <c r="B8" s="7">
        <v>3</v>
      </c>
      <c r="C8" s="7" t="s">
        <v>10</v>
      </c>
      <c r="D8" s="7">
        <v>2</v>
      </c>
      <c r="F8" s="13">
        <v>6</v>
      </c>
      <c r="G8" s="13">
        <v>73</v>
      </c>
      <c r="I8" s="7" t="s">
        <v>10</v>
      </c>
      <c r="J8" s="13">
        <v>3</v>
      </c>
      <c r="K8" s="13">
        <v>4</v>
      </c>
      <c r="L8" s="13">
        <v>3</v>
      </c>
      <c r="M8" s="18">
        <v>2</v>
      </c>
    </row>
    <row r="9" spans="1:45">
      <c r="A9" s="6">
        <v>9</v>
      </c>
      <c r="B9" s="6">
        <v>1</v>
      </c>
      <c r="C9" s="6" t="s">
        <v>11</v>
      </c>
      <c r="D9" s="6">
        <v>1</v>
      </c>
      <c r="F9" s="13">
        <v>7</v>
      </c>
      <c r="G9" s="13">
        <v>82</v>
      </c>
      <c r="I9" s="6" t="s">
        <v>11</v>
      </c>
      <c r="J9" s="13">
        <v>2</v>
      </c>
      <c r="K9" s="13">
        <v>2</v>
      </c>
      <c r="L9" s="13">
        <v>4</v>
      </c>
      <c r="M9" s="18">
        <v>3</v>
      </c>
    </row>
    <row r="10" spans="1:45">
      <c r="A10" s="7">
        <v>10</v>
      </c>
      <c r="B10" s="7">
        <v>2</v>
      </c>
      <c r="C10" s="7" t="s">
        <v>10</v>
      </c>
      <c r="D10" s="7">
        <v>2</v>
      </c>
      <c r="F10" s="13">
        <v>8</v>
      </c>
      <c r="G10" s="13">
        <v>90</v>
      </c>
      <c r="I10" s="9" t="s">
        <v>12</v>
      </c>
      <c r="J10" s="13">
        <v>1</v>
      </c>
      <c r="K10" s="13">
        <v>2</v>
      </c>
      <c r="L10" s="13">
        <v>3</v>
      </c>
      <c r="M10" s="18">
        <v>4</v>
      </c>
    </row>
    <row r="11" spans="1:45">
      <c r="A11" s="10">
        <v>11</v>
      </c>
      <c r="B11" s="10">
        <v>1</v>
      </c>
      <c r="C11" s="10" t="s">
        <v>13</v>
      </c>
      <c r="D11" s="10">
        <v>2</v>
      </c>
      <c r="F11" s="13">
        <v>9</v>
      </c>
      <c r="G11" s="13">
        <v>98</v>
      </c>
      <c r="I11" s="10" t="s">
        <v>13</v>
      </c>
      <c r="J11" s="13">
        <v>1</v>
      </c>
      <c r="K11" s="13">
        <v>1</v>
      </c>
      <c r="L11" s="13">
        <v>1</v>
      </c>
      <c r="M11" s="19">
        <v>5</v>
      </c>
    </row>
    <row r="12" spans="1:45">
      <c r="A12" s="8">
        <v>12</v>
      </c>
      <c r="B12" s="8">
        <v>2</v>
      </c>
      <c r="C12" s="8" t="s">
        <v>14</v>
      </c>
      <c r="D12" s="8">
        <v>2</v>
      </c>
      <c r="F12" s="13">
        <v>10</v>
      </c>
      <c r="G12" s="13">
        <v>105</v>
      </c>
    </row>
    <row r="13" spans="1:45">
      <c r="A13" s="11">
        <v>13</v>
      </c>
      <c r="B13" s="11">
        <v>0</v>
      </c>
      <c r="C13" s="11" t="s">
        <v>15</v>
      </c>
      <c r="D13" s="11">
        <v>1</v>
      </c>
      <c r="F13" s="13">
        <v>11</v>
      </c>
      <c r="G13" s="13">
        <v>112</v>
      </c>
      <c r="I13" s="5" t="s">
        <v>24</v>
      </c>
      <c r="J13" s="5">
        <v>1</v>
      </c>
      <c r="K13" s="5">
        <v>2</v>
      </c>
      <c r="L13" s="5">
        <v>3</v>
      </c>
      <c r="M13" s="17">
        <v>1</v>
      </c>
    </row>
    <row r="14" spans="1:45">
      <c r="A14" s="9">
        <v>14</v>
      </c>
      <c r="B14" s="9">
        <v>2</v>
      </c>
      <c r="C14" s="9" t="s">
        <v>12</v>
      </c>
      <c r="D14" s="9">
        <v>2</v>
      </c>
      <c r="F14" s="13">
        <v>12</v>
      </c>
      <c r="G14" s="13">
        <v>118</v>
      </c>
      <c r="I14" s="7" t="s">
        <v>10</v>
      </c>
      <c r="J14" s="13">
        <v>4</v>
      </c>
      <c r="K14" s="13">
        <v>5</v>
      </c>
      <c r="L14" s="13">
        <v>3</v>
      </c>
      <c r="M14" s="18">
        <v>2</v>
      </c>
    </row>
    <row r="15" spans="1:45">
      <c r="A15" s="7">
        <v>15</v>
      </c>
      <c r="B15" s="7">
        <v>2</v>
      </c>
      <c r="C15" s="7" t="s">
        <v>10</v>
      </c>
      <c r="D15" s="7">
        <v>2</v>
      </c>
      <c r="F15" s="13">
        <v>13</v>
      </c>
      <c r="G15" s="13">
        <v>124</v>
      </c>
      <c r="I15" s="6" t="s">
        <v>11</v>
      </c>
      <c r="J15" s="13">
        <v>2</v>
      </c>
      <c r="K15" s="13">
        <v>3</v>
      </c>
      <c r="L15" s="13">
        <v>4</v>
      </c>
      <c r="M15" s="18">
        <v>3</v>
      </c>
    </row>
    <row r="16" spans="1:45">
      <c r="A16" s="6">
        <v>16</v>
      </c>
      <c r="B16" s="6">
        <v>2</v>
      </c>
      <c r="C16" s="6" t="s">
        <v>11</v>
      </c>
      <c r="D16" s="6">
        <v>3</v>
      </c>
      <c r="F16" s="13">
        <v>14</v>
      </c>
      <c r="G16" s="13">
        <v>129</v>
      </c>
      <c r="I16" s="9" t="s">
        <v>12</v>
      </c>
      <c r="J16" s="13">
        <v>1</v>
      </c>
      <c r="K16" s="13">
        <v>2</v>
      </c>
      <c r="L16" s="13">
        <v>3</v>
      </c>
      <c r="M16" s="18">
        <v>4</v>
      </c>
    </row>
    <row r="17" spans="1:13">
      <c r="A17" s="10">
        <v>17</v>
      </c>
      <c r="B17" s="10">
        <v>1</v>
      </c>
      <c r="C17" s="10" t="s">
        <v>13</v>
      </c>
      <c r="D17" s="10">
        <v>2</v>
      </c>
      <c r="F17" s="13">
        <v>15</v>
      </c>
      <c r="G17" s="13">
        <v>134</v>
      </c>
      <c r="I17" s="10" t="s">
        <v>13</v>
      </c>
      <c r="J17" s="13">
        <v>1</v>
      </c>
      <c r="K17" s="13">
        <v>1</v>
      </c>
      <c r="L17" s="13">
        <v>1</v>
      </c>
      <c r="M17" s="19">
        <v>5</v>
      </c>
    </row>
    <row r="18" spans="1:13">
      <c r="A18" s="11">
        <v>18</v>
      </c>
      <c r="B18" s="11">
        <v>0</v>
      </c>
      <c r="C18" s="11" t="s">
        <v>15</v>
      </c>
      <c r="D18" s="11">
        <v>2</v>
      </c>
      <c r="F18" s="13">
        <v>16</v>
      </c>
      <c r="G18" s="13">
        <v>138</v>
      </c>
    </row>
    <row r="19" spans="1:13">
      <c r="A19" s="9">
        <v>19</v>
      </c>
      <c r="B19" s="9">
        <v>2</v>
      </c>
      <c r="C19" s="9" t="s">
        <v>12</v>
      </c>
      <c r="D19" s="9">
        <v>3</v>
      </c>
      <c r="F19" s="13">
        <v>17</v>
      </c>
      <c r="G19" s="13">
        <v>142</v>
      </c>
      <c r="I19" s="5" t="s">
        <v>25</v>
      </c>
      <c r="J19" s="5">
        <v>1</v>
      </c>
      <c r="K19" s="5">
        <v>2</v>
      </c>
      <c r="L19" s="5">
        <v>3</v>
      </c>
      <c r="M19" s="17">
        <v>1</v>
      </c>
    </row>
    <row r="20" spans="1:13">
      <c r="A20" s="7">
        <v>20</v>
      </c>
      <c r="B20" s="7">
        <v>3</v>
      </c>
      <c r="C20" s="7" t="s">
        <v>10</v>
      </c>
      <c r="D20" s="7">
        <v>5</v>
      </c>
      <c r="F20" s="13">
        <v>18</v>
      </c>
      <c r="G20" s="13">
        <v>145</v>
      </c>
      <c r="I20" s="7" t="s">
        <v>10</v>
      </c>
      <c r="J20" s="13">
        <v>5</v>
      </c>
      <c r="K20" s="13">
        <v>6</v>
      </c>
      <c r="L20" s="13">
        <v>4</v>
      </c>
      <c r="M20" s="18">
        <v>2</v>
      </c>
    </row>
    <row r="21" spans="1:13">
      <c r="A21" s="8">
        <v>21</v>
      </c>
      <c r="B21" s="8">
        <v>2</v>
      </c>
      <c r="C21" s="8" t="s">
        <v>14</v>
      </c>
      <c r="D21" s="8">
        <v>4</v>
      </c>
      <c r="F21" s="13">
        <v>19</v>
      </c>
      <c r="G21" s="13">
        <v>148</v>
      </c>
      <c r="I21" s="6" t="s">
        <v>11</v>
      </c>
      <c r="J21" s="13">
        <v>3</v>
      </c>
      <c r="K21" s="13">
        <v>4</v>
      </c>
      <c r="L21" s="13">
        <v>5</v>
      </c>
      <c r="M21" s="18">
        <v>3</v>
      </c>
    </row>
    <row r="22" spans="1:13">
      <c r="A22" s="11">
        <v>22</v>
      </c>
      <c r="B22" s="11">
        <v>0</v>
      </c>
      <c r="C22" s="11" t="s">
        <v>15</v>
      </c>
      <c r="D22" s="11">
        <v>2</v>
      </c>
      <c r="F22" s="13">
        <v>20</v>
      </c>
      <c r="G22" s="13">
        <v>150</v>
      </c>
      <c r="I22" s="9" t="s">
        <v>12</v>
      </c>
      <c r="J22" s="13">
        <v>2</v>
      </c>
      <c r="K22" s="13">
        <v>3</v>
      </c>
      <c r="L22" s="13">
        <v>4</v>
      </c>
      <c r="M22" s="18">
        <v>4</v>
      </c>
    </row>
    <row r="23" spans="1:13">
      <c r="A23" s="10">
        <v>23</v>
      </c>
      <c r="B23" s="10">
        <v>1</v>
      </c>
      <c r="C23" s="10" t="s">
        <v>13</v>
      </c>
      <c r="D23" s="10">
        <v>3</v>
      </c>
      <c r="I23" s="10" t="s">
        <v>13</v>
      </c>
      <c r="J23" s="13">
        <v>1</v>
      </c>
      <c r="K23" s="13">
        <v>2</v>
      </c>
      <c r="L23" s="13">
        <v>2</v>
      </c>
      <c r="M23" s="19">
        <v>5</v>
      </c>
    </row>
    <row r="24" spans="1:13">
      <c r="A24" s="9">
        <v>24</v>
      </c>
      <c r="B24" s="9">
        <v>2</v>
      </c>
      <c r="C24" s="9" t="s">
        <v>12</v>
      </c>
      <c r="D24" s="9">
        <v>4</v>
      </c>
    </row>
    <row r="25" spans="1:13">
      <c r="A25" s="7">
        <v>25</v>
      </c>
      <c r="B25" s="7">
        <v>2</v>
      </c>
      <c r="C25" s="7" t="s">
        <v>10</v>
      </c>
      <c r="D25" s="7">
        <v>5</v>
      </c>
      <c r="I25" s="5" t="s">
        <v>34</v>
      </c>
      <c r="J25" s="5">
        <v>1</v>
      </c>
      <c r="K25" s="5">
        <v>2</v>
      </c>
      <c r="L25" s="5">
        <v>3</v>
      </c>
      <c r="M25" s="17">
        <v>1</v>
      </c>
    </row>
    <row r="26" spans="1:13">
      <c r="A26" s="6">
        <v>26</v>
      </c>
      <c r="B26" s="6">
        <v>2</v>
      </c>
      <c r="C26" s="6" t="s">
        <v>11</v>
      </c>
      <c r="D26" s="6">
        <v>5</v>
      </c>
      <c r="F26" s="4"/>
      <c r="I26" s="7" t="s">
        <v>10</v>
      </c>
      <c r="J26" s="13">
        <v>5</v>
      </c>
      <c r="K26" s="13">
        <v>7</v>
      </c>
      <c r="L26" s="13">
        <v>5</v>
      </c>
      <c r="M26" s="18">
        <v>2</v>
      </c>
    </row>
    <row r="27" spans="1:13">
      <c r="A27" s="11">
        <v>27</v>
      </c>
      <c r="B27" s="11">
        <v>0</v>
      </c>
      <c r="C27" s="11" t="s">
        <v>15</v>
      </c>
      <c r="D27" s="11">
        <v>3</v>
      </c>
      <c r="F27" s="4"/>
      <c r="I27" s="6" t="s">
        <v>11</v>
      </c>
      <c r="J27" s="13">
        <v>4</v>
      </c>
      <c r="K27" s="13">
        <v>5</v>
      </c>
      <c r="L27" s="13">
        <v>6</v>
      </c>
      <c r="M27" s="18">
        <v>3</v>
      </c>
    </row>
    <row r="28" spans="1:13">
      <c r="A28" s="10">
        <v>28</v>
      </c>
      <c r="B28" s="10">
        <v>1</v>
      </c>
      <c r="C28" s="10" t="s">
        <v>13</v>
      </c>
      <c r="D28" s="10">
        <v>4</v>
      </c>
      <c r="F28" s="4"/>
      <c r="G28"/>
      <c r="I28" s="9" t="s">
        <v>12</v>
      </c>
      <c r="J28" s="13">
        <v>3</v>
      </c>
      <c r="K28" s="13">
        <v>3</v>
      </c>
      <c r="L28" s="13">
        <v>5</v>
      </c>
      <c r="M28" s="18">
        <v>4</v>
      </c>
    </row>
    <row r="29" spans="1:13">
      <c r="A29" s="8">
        <v>29</v>
      </c>
      <c r="B29" s="8">
        <v>1</v>
      </c>
      <c r="C29" s="8" t="s">
        <v>14</v>
      </c>
      <c r="D29" s="8">
        <v>4</v>
      </c>
      <c r="F29" s="4"/>
      <c r="G29"/>
      <c r="I29" s="10" t="s">
        <v>13</v>
      </c>
      <c r="J29" s="13">
        <v>2</v>
      </c>
      <c r="K29" s="13">
        <v>3</v>
      </c>
      <c r="L29" s="13">
        <v>2</v>
      </c>
      <c r="M29" s="19">
        <v>5</v>
      </c>
    </row>
    <row r="30" spans="1:13">
      <c r="A30" s="9">
        <v>30</v>
      </c>
      <c r="B30" s="9">
        <v>3</v>
      </c>
      <c r="C30" s="9" t="s">
        <v>12</v>
      </c>
      <c r="D30" s="9">
        <v>6</v>
      </c>
      <c r="F30" s="4"/>
      <c r="G30"/>
    </row>
    <row r="31" spans="1:13">
      <c r="A31" s="7">
        <v>31</v>
      </c>
      <c r="B31" s="7">
        <v>3</v>
      </c>
      <c r="C31" s="7" t="s">
        <v>10</v>
      </c>
      <c r="D31" s="7">
        <v>6</v>
      </c>
      <c r="I31" s="5" t="s">
        <v>35</v>
      </c>
      <c r="J31" s="5">
        <v>1</v>
      </c>
      <c r="K31" s="5">
        <v>2</v>
      </c>
      <c r="L31" s="5">
        <v>3</v>
      </c>
      <c r="M31" s="17">
        <v>1</v>
      </c>
    </row>
    <row r="32" spans="1:13">
      <c r="A32" s="6">
        <v>32</v>
      </c>
      <c r="B32" s="6">
        <v>3</v>
      </c>
      <c r="C32" s="6" t="s">
        <v>11</v>
      </c>
      <c r="D32" s="6">
        <v>6</v>
      </c>
      <c r="I32" s="7" t="s">
        <v>10</v>
      </c>
      <c r="J32" s="13">
        <v>7</v>
      </c>
      <c r="K32" s="13">
        <v>9</v>
      </c>
      <c r="L32" s="13">
        <v>6</v>
      </c>
      <c r="M32" s="18">
        <v>2</v>
      </c>
    </row>
    <row r="33" spans="1:13">
      <c r="A33" s="11">
        <v>33</v>
      </c>
      <c r="B33" s="11">
        <v>0</v>
      </c>
      <c r="C33" s="11" t="s">
        <v>15</v>
      </c>
      <c r="D33" s="11">
        <v>4</v>
      </c>
      <c r="I33" s="6" t="s">
        <v>11</v>
      </c>
      <c r="J33" s="13">
        <v>5</v>
      </c>
      <c r="K33" s="13">
        <v>6</v>
      </c>
      <c r="L33" s="13">
        <v>7</v>
      </c>
      <c r="M33" s="18">
        <v>3</v>
      </c>
    </row>
    <row r="34" spans="1:13">
      <c r="A34" s="10">
        <v>34</v>
      </c>
      <c r="B34" s="10">
        <v>1</v>
      </c>
      <c r="C34" s="10" t="s">
        <v>13</v>
      </c>
      <c r="D34" s="10">
        <v>5</v>
      </c>
      <c r="I34" s="9" t="s">
        <v>12</v>
      </c>
      <c r="J34" s="13">
        <v>3</v>
      </c>
      <c r="K34" s="13">
        <v>5</v>
      </c>
      <c r="L34" s="13">
        <v>6</v>
      </c>
      <c r="M34" s="18">
        <v>4</v>
      </c>
    </row>
    <row r="35" spans="1:13">
      <c r="A35" s="6">
        <v>35</v>
      </c>
      <c r="B35" s="6">
        <v>1</v>
      </c>
      <c r="C35" s="6" t="s">
        <v>11</v>
      </c>
      <c r="D35" s="6">
        <v>5</v>
      </c>
      <c r="I35" s="10" t="s">
        <v>13</v>
      </c>
      <c r="J35" s="13">
        <v>2</v>
      </c>
      <c r="K35" s="13">
        <v>3</v>
      </c>
      <c r="L35" s="13">
        <v>3</v>
      </c>
      <c r="M35" s="19">
        <v>5</v>
      </c>
    </row>
    <row r="36" spans="1:13">
      <c r="A36" s="7">
        <v>36</v>
      </c>
      <c r="B36" s="7">
        <v>3</v>
      </c>
      <c r="C36" s="7" t="s">
        <v>10</v>
      </c>
      <c r="D36" s="7">
        <v>7</v>
      </c>
    </row>
    <row r="37" spans="1:13">
      <c r="A37" s="11">
        <v>37</v>
      </c>
      <c r="B37" s="11">
        <v>0</v>
      </c>
      <c r="C37" s="11" t="s">
        <v>15</v>
      </c>
      <c r="D37" s="11">
        <v>4</v>
      </c>
      <c r="I37">
        <f>HLOOKUP(1,Players6,VLOOKUP("C",Players6,5,FALSE),FALSE)</f>
        <v>7</v>
      </c>
    </row>
    <row r="38" spans="1:13">
      <c r="A38" s="9">
        <v>38</v>
      </c>
      <c r="B38" s="9">
        <v>3</v>
      </c>
      <c r="C38" s="9" t="s">
        <v>12</v>
      </c>
      <c r="D38" s="9">
        <v>7</v>
      </c>
    </row>
    <row r="39" spans="1:13">
      <c r="A39" s="10">
        <v>39</v>
      </c>
      <c r="B39" s="10">
        <v>1</v>
      </c>
      <c r="C39" s="10" t="s">
        <v>13</v>
      </c>
      <c r="D39" s="10">
        <v>6</v>
      </c>
    </row>
    <row r="40" spans="1:13">
      <c r="A40" s="12">
        <v>40</v>
      </c>
      <c r="B40" s="12"/>
      <c r="C40" s="12" t="s">
        <v>16</v>
      </c>
      <c r="D40" s="12"/>
    </row>
    <row r="41" spans="1:13">
      <c r="A41" s="12">
        <v>41</v>
      </c>
      <c r="B41" s="12"/>
      <c r="C41" s="12" t="s">
        <v>16</v>
      </c>
      <c r="D41" s="12"/>
    </row>
    <row r="42" spans="1:13">
      <c r="A42" s="7">
        <v>42</v>
      </c>
      <c r="B42" s="7">
        <v>2</v>
      </c>
      <c r="C42" s="7" t="s">
        <v>10</v>
      </c>
      <c r="D42" s="7">
        <v>6</v>
      </c>
    </row>
    <row r="43" spans="1:13">
      <c r="A43" s="12">
        <v>43</v>
      </c>
      <c r="B43" s="12"/>
      <c r="C43" s="12" t="s">
        <v>16</v>
      </c>
      <c r="D43" s="12"/>
    </row>
    <row r="44" spans="1:13">
      <c r="A44" s="11">
        <v>44</v>
      </c>
      <c r="B44" s="11">
        <v>0</v>
      </c>
      <c r="C44" s="11" t="s">
        <v>15</v>
      </c>
      <c r="D44" s="11">
        <v>5</v>
      </c>
    </row>
    <row r="45" spans="1:13">
      <c r="A45" s="12">
        <v>45</v>
      </c>
      <c r="B45" s="12"/>
      <c r="C45" s="12" t="s">
        <v>16</v>
      </c>
      <c r="D45" s="12"/>
    </row>
    <row r="46" spans="1:13">
      <c r="A46" s="8">
        <v>46</v>
      </c>
      <c r="B46" s="8">
        <v>3</v>
      </c>
      <c r="C46" s="8" t="s">
        <v>14</v>
      </c>
      <c r="D46" s="8">
        <v>7</v>
      </c>
    </row>
    <row r="47" spans="1:13">
      <c r="A47" s="12">
        <v>47</v>
      </c>
      <c r="B47" s="27"/>
      <c r="C47" s="27" t="s">
        <v>16</v>
      </c>
      <c r="D47" s="27"/>
    </row>
    <row r="48" spans="1:13">
      <c r="A48" s="12">
        <v>48</v>
      </c>
      <c r="B48" s="27"/>
      <c r="C48" s="27" t="s">
        <v>16</v>
      </c>
      <c r="D48" s="27"/>
    </row>
    <row r="49" spans="1:12">
      <c r="A49" s="12">
        <v>49</v>
      </c>
      <c r="B49" s="27"/>
      <c r="C49" s="27" t="s">
        <v>16</v>
      </c>
      <c r="D49" s="27"/>
    </row>
    <row r="50" spans="1:12">
      <c r="A50" s="11">
        <v>50</v>
      </c>
      <c r="B50" s="11">
        <v>0</v>
      </c>
      <c r="C50" s="11" t="s">
        <v>15</v>
      </c>
      <c r="D50" s="11">
        <v>6</v>
      </c>
      <c r="H50" s="4"/>
    </row>
    <row r="51" spans="1:12">
      <c r="H51" s="4"/>
      <c r="I51" s="4"/>
      <c r="J51" s="4"/>
      <c r="K51" s="4"/>
      <c r="L51" s="4"/>
    </row>
    <row r="52" spans="1:12">
      <c r="H52" s="4"/>
      <c r="I52" s="4"/>
    </row>
  </sheetData>
  <mergeCells count="12">
    <mergeCell ref="AQ1:AS1"/>
    <mergeCell ref="J1:L1"/>
    <mergeCell ref="M1:O1"/>
    <mergeCell ref="P1:R1"/>
    <mergeCell ref="S1:U1"/>
    <mergeCell ref="V1:X1"/>
    <mergeCell ref="Y1:AA1"/>
    <mergeCell ref="AB1:AD1"/>
    <mergeCell ref="AE1:AG1"/>
    <mergeCell ref="AH1:AJ1"/>
    <mergeCell ref="AK1:AM1"/>
    <mergeCell ref="AN1:AP1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Cash Flow</vt:lpstr>
      <vt:lpstr>Plant Bid</vt:lpstr>
      <vt:lpstr>Reference</vt:lpstr>
      <vt:lpstr>Payout</vt:lpstr>
      <vt:lpstr>Plants</vt:lpstr>
      <vt:lpstr>Players2</vt:lpstr>
      <vt:lpstr>Players3</vt:lpstr>
      <vt:lpstr>Players4</vt:lpstr>
      <vt:lpstr>Players5</vt:lpstr>
      <vt:lpstr>Players6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Hung</dc:creator>
  <cp:lastModifiedBy>Yang</cp:lastModifiedBy>
  <dcterms:created xsi:type="dcterms:W3CDTF">2010-06-14T22:32:50Z</dcterms:created>
  <dcterms:modified xsi:type="dcterms:W3CDTF">2013-04-04T23:25:34Z</dcterms:modified>
</cp:coreProperties>
</file>